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0b7acef71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 Results" sheetId="1" r:id="Ra5f47ae0e0ac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i/>
      <x:sz val="11"/>
      <x:color rgb="FF44546A"/>
      <x:name val="Carlito"/>
    </x:font>
    <x:font>
      <x:sz val="11"/>
      <x:color rgb="FF44546A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5">
    <x:border/>
    <x:border>
      <x:left style="medium">
        <x:color rgb="FF9EADBA"/>
      </x:left>
      <x:top style="medium">
        <x:color rgb="FF9EADBA"/>
      </x:top>
      <x:bottom style="medium">
        <x:color rgb="FF9EADBA"/>
      </x:bottom>
    </x:border>
    <x:border>
      <x:top style="medium">
        <x:color rgb="FF9EADBA"/>
      </x:top>
      <x:bottom style="medium">
        <x:color rgb="FF9EADBA"/>
      </x:bottom>
    </x:border>
    <x:border>
      <x:right style="medium">
        <x:color rgb="FF9EADBA"/>
      </x:right>
      <x:top style="medium">
        <x:color rgb="FF9EADBA"/>
      </x:top>
      <x:bottom style="medium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64d8c66194cf4" /><Relationship Type="http://schemas.openxmlformats.org/officeDocument/2006/relationships/theme" Target="/xl/theme/theme1.xml" Id="Rda34e6b60c894155" /><Relationship Type="http://schemas.openxmlformats.org/officeDocument/2006/relationships/sharedStrings" Target="/xl/sharedStrings.xml" Id="Rc24d9d8776c34248" /><Relationship Type="http://schemas.openxmlformats.org/officeDocument/2006/relationships/worksheet" Target="/xl/worksheets/sheet1.xml" Id="Ra5f47ae0e0ac42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1" hidden="0" customWidth="1"/>
    <x:col min="8" max="8" width="11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28" hidden="0" customWidth="1"/>
  </x:cols>
  <x:sheetData>
    <x:row r="1" ht="28" customHeight="1">
      <x:c r="A1" s="3" t="str">
        <x:v>Numeric ASNet — Five-Domain RQ1–RQ4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7" t="str">
        <x:v>Reference</x:v>
      </x:c>
      <x:c r="B2" s="7"/>
      <x:c r="C2" s="7" t="str">
        <x:v>RQ2 / VH-off</x:v>
      </x:c>
      <x:c r="D2" s="7"/>
      <x:c r="E2" s="7"/>
      <x:c r="F2" s="7"/>
      <x:c r="G2" s="7" t="str">
        <x:v>RQ4 / VH-on</x:v>
      </x:c>
      <x:c r="H2" s="7"/>
      <x:c r="I2" s="7"/>
      <x:c r="J2" s="7"/>
    </x:row>
    <x:row r="3" ht="34" customHeight="1">
      <x:c r="A3" s="19" t="str">
        <x:v>Domain</x:v>
      </x:c>
      <x:c r="B3" s="20" t="str">
        <x:v>Paper</x:v>
      </x:c>
      <x:c r="C3" s="20" t="str">
        <x:v>Stage-1 policy</x:v>
      </x:c>
      <x:c r="D3" s="20" t="str">
        <x:v>Stage-2 policy</x:v>
      </x:c>
      <x:c r="E3" s="20" t="str">
        <x:v>Stage-1 MCTS</x:v>
      </x:c>
      <x:c r="F3" s="20" t="str">
        <x:v>Stage-2 MCTS</x:v>
      </x:c>
      <x:c r="G3" s="20" t="str">
        <x:v>Stage-1 policy</x:v>
      </x:c>
      <x:c r="H3" s="20" t="str">
        <x:v>Stage-2 policy</x:v>
      </x:c>
      <x:c r="I3" s="20" t="str">
        <x:v>Stage-1 MCTS</x:v>
      </x:c>
      <x:c r="J3" s="21" t="str">
        <x:v>Stage-2 MCTS</x:v>
      </x:c>
    </x:row>
    <x:row r="4" ht="34" customHeight="1">
      <x:c r="A4" s="26" t="str">
        <x:v>Block Grouping</x:v>
      </x:c>
      <x:c r="B4" s="27" t="str">
        <x:v>17/20</x:v>
      </x:c>
      <x:c r="C4" s="27" t="str">
        <x:v>17/20</x:v>
      </x:c>
      <x:c r="D4" s="27" t="str">
        <x:v>15/20</x:v>
      </x:c>
      <x:c r="E4" s="27" t="str">
        <x:v>18/20*</x:v>
      </x:c>
      <x:c r="F4" s="27" t="str">
        <x:v>15/20 narrow (8/20 normal)</x:v>
      </x:c>
      <x:c r="G4" s="27" t="str">
        <x:v>15/20</x:v>
      </x:c>
      <x:c r="H4" s="27" t="str">
        <x:v>15/20</x:v>
      </x:c>
      <x:c r="I4" s="27" t="str">
        <x:v>16/20 narrow</x:v>
      </x:c>
      <x:c r="J4" s="27" t="str">
        <x:v>15/20 narrow (9/20 normal)</x:v>
      </x:c>
    </x:row>
    <x:row r="5" ht="34" customHeight="1">
      <x:c r="A5" s="26" t="str">
        <x:v>Drone</x:v>
      </x:c>
      <x:c r="B5" s="27" t="str">
        <x:v>9/20</x:v>
      </x:c>
      <x:c r="C5" s="27" t="str">
        <x:v>6/20</x:v>
      </x:c>
      <x:c r="D5" s="27" t="str">
        <x:v>4/20</x:v>
      </x:c>
      <x:c r="E5" s="27" t="str">
        <x:v>6/20</x:v>
      </x:c>
      <x:c r="F5" s="27" t="str">
        <x:v>7/20</x:v>
      </x:c>
      <x:c r="G5" s="27" t="str">
        <x:v>10/20</x:v>
      </x:c>
      <x:c r="H5" s="27" t="str">
        <x:v>13/20</x:v>
      </x:c>
      <x:c r="I5" s="27" t="str">
        <x:v>16/20</x:v>
      </x:c>
      <x:c r="J5" s="27" t="str">
        <x:v>16/20</x:v>
      </x:c>
    </x:row>
    <x:row r="6" ht="34" customHeight="1">
      <x:c r="A6" s="26" t="str">
        <x:v>FO Counters</x:v>
      </x:c>
      <x:c r="B6" s="27" t="str">
        <x:v>6/20</x:v>
      </x:c>
      <x:c r="C6" s="27" t="str">
        <x:v>6/20</x:v>
      </x:c>
      <x:c r="D6" s="27" t="str">
        <x:v>7/20</x:v>
      </x:c>
      <x:c r="E6" s="27" t="str">
        <x:v>5/20</x:v>
      </x:c>
      <x:c r="F6" s="27" t="str">
        <x:v>11/20</x:v>
      </x:c>
      <x:c r="G6" s="27" t="str">
        <x:v>6/20</x:v>
      </x:c>
      <x:c r="H6" s="27" t="str">
        <x:v>5/20</x:v>
      </x:c>
      <x:c r="I6" s="27" t="str">
        <x:v>7/20</x:v>
      </x:c>
      <x:c r="J6" s="27" t="str">
        <x:v>6/20</x:v>
      </x:c>
    </x:row>
    <x:row r="7" ht="34" customHeight="1">
      <x:c r="A7" s="26" t="str">
        <x:v>Rover</x:v>
      </x:c>
      <x:c r="B7" s="27" t="str">
        <x:v>7/20</x:v>
      </x:c>
      <x:c r="C7" s="27" t="str">
        <x:v>4/20</x:v>
      </x:c>
      <x:c r="D7" s="27" t="str">
        <x:v>4/20</x:v>
      </x:c>
      <x:c r="E7" s="27" t="str">
        <x:v>6/20</x:v>
      </x:c>
      <x:c r="F7" s="27" t="str">
        <x:v>4/20</x:v>
      </x:c>
      <x:c r="G7" s="27" t="str">
        <x:v>4/20</x:v>
      </x:c>
      <x:c r="H7" s="27" t="str">
        <x:v>4/20</x:v>
      </x:c>
      <x:c r="I7" s="27" t="str">
        <x:v>5/20</x:v>
      </x:c>
      <x:c r="J7" s="27" t="str">
        <x:v>8/20** (6/20 at 70 iterations)</x:v>
      </x:c>
    </x:row>
    <x:row r="8" ht="34" customHeight="1">
      <x:c r="A8" s="26" t="str">
        <x:v>Counters</x:v>
      </x:c>
      <x:c r="B8" s="27" t="str">
        <x:v>17/59</x:v>
      </x:c>
      <x:c r="C8" s="27" t="str">
        <x:v>15/59</x:v>
      </x:c>
      <x:c r="D8" s="27" t="str">
        <x:v>35/59</x:v>
      </x:c>
      <x:c r="E8" s="27" t="str">
        <x:v>≥26/59, scheduler-limited</x:v>
      </x:c>
      <x:c r="F8" s="27" t="str">
        <x:v>33/59 normal; ≥37/59 narrow</x:v>
      </x:c>
      <x:c r="G8" s="27" t="str">
        <x:v>12/59</x:v>
      </x:c>
      <x:c r="H8" s="27" t="str">
        <x:v>14/59</x:v>
      </x:c>
      <x:c r="I8" s="27" t="str">
        <x:v>≥14/59, scheduler-limited</x:v>
      </x:c>
      <x:c r="J8" s="27" t="str">
        <x:v>15/59</x:v>
      </x:c>
    </x:row>
    <x:row r="9">
      <x:c r="A9"/>
      <x:c r="B9"/>
      <x:c r="C9"/>
      <x:c r="D9"/>
      <x:c r="E9"/>
      <x:c r="F9"/>
      <x:c r="G9"/>
      <x:c r="H9"/>
      <x:c r="I9"/>
      <x:c r="J9"/>
    </x:row>
    <x:row r="10" ht="48" customHeight="1">
      <x:c r="A10" s="31" t="str">
        <x:v>* Block Grouping 18/20 is modern and VAL-confirmed. At width 5 / 3 iterations, the 2×2 ablation isolates the gain to PUCT 1.0; width 10 / 3 iterations also reaches 18/20 with PUCT 0.1, indicating a width–PUCT interaction.</x:v>
      </x:c>
      <x:c r="B10" s="31"/>
      <x:c r="C10" s="31"/>
      <x:c r="D10" s="31"/>
      <x:c r="E10" s="31"/>
      <x:c r="F10" s="31"/>
      <x:c r="G10" s="31"/>
      <x:c r="H10" s="31"/>
      <x:c r="I10" s="31"/>
      <x:c r="J10" s="31"/>
    </x:row>
    <x:row r="11" ht="34" customHeight="1">
      <x:c r="A11" s="31" t="str">
        <x:v>** Rover 8/20 is VAL-confirmed under the same width with 200 MCTS iterations; the 70-iteration result is retained in parentheses.</x:v>
      </x:c>
      <x:c r="B11" s="31"/>
      <x:c r="C11" s="31"/>
      <x:c r="D11" s="31"/>
      <x:c r="E11" s="31"/>
      <x:c r="F11" s="31"/>
      <x:c r="G11" s="31"/>
      <x:c r="H11" s="31"/>
      <x:c r="I11" s="31"/>
      <x:c r="J11" s="31"/>
    </x:row>
    <x:row r="12" ht="34" customHeight="1">
      <x:c r="A12" s="31" t="str">
        <x:v>Normal versus narrow labels are shown only where a search-width comparison exists. Scores are coverage; Counters uses 59 test instances, other domains use 20.</x:v>
      </x:c>
      <x:c r="B12" s="31"/>
      <x:c r="C12" s="31"/>
      <x:c r="D12" s="31"/>
      <x:c r="E12" s="31"/>
      <x:c r="F12" s="31"/>
      <x:c r="G12" s="31"/>
      <x:c r="H12" s="31"/>
      <x:c r="I12" s="31"/>
      <x:c r="J12" s="31"/>
    </x:row>
    <x:row r="14" ht="26" customHeight="1">
      <x:c r="A14" s="3" t="str">
        <x:v>Statistical support for the displayed results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 ht="34" customHeight="1">
      <x:c r="A15" s="19" t="str">
        <x:v>Domain</x:v>
      </x:c>
      <x:c r="B15" s="20" t="str">
        <x:v>RQ</x:v>
      </x:c>
      <x:c r="C15" s="20" t="str">
        <x:v>VH</x:v>
      </x:c>
      <x:c r="D15" s="20" t="str">
        <x:v>Checkpoint</x:v>
      </x:c>
      <x:c r="E15" s="20" t="str">
        <x:v>Inference</x:v>
      </x:c>
      <x:c r="F15" s="20" t="str">
        <x:v>Variant</x:v>
      </x:c>
      <x:c r="G15" s="20" t="str">
        <x:v>Successes</x:v>
      </x:c>
      <x:c r="H15" s="20" t="str">
        <x:v>Test N</x:v>
      </x:c>
      <x:c r="I15" s="20" t="str">
        <x:v>Coverage</x:v>
      </x:c>
      <x:c r="J15" s="20" t="str">
        <x:v>Wilson 95% low</x:v>
      </x:c>
      <x:c r="K15" s="20" t="str">
        <x:v>Wilson 95% high</x:v>
      </x:c>
      <x:c r="L15" s="20" t="str">
        <x:v>Displayed networks</x:v>
      </x:c>
      <x:c r="M15" s="20" t="str">
        <x:v>Eval repetitions</x:v>
      </x:c>
      <x:c r="N15" s="21" t="str">
        <x:v>Status</x:v>
      </x:c>
    </x:row>
    <x:row r="16" ht="28" customHeight="1">
      <x:c r="A16" s="33" t="str">
        <x:v>Block Grouping</x:v>
      </x:c>
      <x:c r="B16" s="33" t="str">
        <x:v>RQ1</x:v>
      </x:c>
      <x:c r="C16" s="33" t="str">
        <x:v>off</x:v>
      </x:c>
      <x:c r="D16" s="33" t="str">
        <x:v>Stage 1</x:v>
      </x:c>
      <x:c r="E16" s="33" t="str">
        <x:v>Policy</x:v>
      </x:c>
      <x:c r="F16" s="33" t="str">
        <x:v>Selected</x:v>
      </x:c>
      <x:c r="G16" s="34" t="n">
        <x:v>17</x:v>
      </x:c>
      <x:c r="H16" s="34" t="n">
        <x:v>20</x:v>
      </x:c>
      <x:c r="I16" s="35" t="n">
        <x:f>G16/H16</x:f>
        <x:v>0.85</x:v>
      </x:c>
      <x:c r="J16" s="35" t="n">
        <x:f>((G16/H16+3.8416/(2*H16))-1.96*SQRT((G16/H16)*(1-G16/H16)/H16+3.8416/(4*H16^2)))/(1+3.8416/H16)</x:f>
        <x:v>0.6395767041130426</x:v>
      </x:c>
      <x:c r="K16" s="35" t="n">
        <x:f>((G16/H16+3.8416/(2*H16))+1.96*SQRT((G16/H16)*(1-G16/H16)/H16+3.8416/(4*H16^2)))/(1+3.8416/H16)</x:f>
        <x:v>0.9476322080405041</x:v>
      </x:c>
      <x:c r="L16" s="34" t="n">
        <x:v>1</x:v>
      </x:c>
      <x:c r="M16" s="34" t="n">
        <x:v>1</x:v>
      </x:c>
      <x:c r="N16" s="33" t="str">
        <x:v>complete</x:v>
      </x:c>
    </x:row>
    <x:row r="17" ht="28" customHeight="1">
      <x:c r="A17" s="33" t="str">
        <x:v>Block Grouping</x:v>
      </x:c>
      <x:c r="B17" s="33" t="str">
        <x:v>RQ2</x:v>
      </x:c>
      <x:c r="C17" s="33" t="str">
        <x:v>off</x:v>
      </x:c>
      <x:c r="D17" s="33" t="str">
        <x:v>Stage 1</x:v>
      </x:c>
      <x:c r="E17" s="33" t="str">
        <x:v>MCTS</x:v>
      </x:c>
      <x:c r="F17" s="33" t="str">
        <x:v>PUCT 1.0 / width 5 / iter 3</x:v>
      </x:c>
      <x:c r="G17" s="34" t="n">
        <x:v>18</x:v>
      </x:c>
      <x:c r="H17" s="34" t="n">
        <x:v>20</x:v>
      </x:c>
      <x:c r="I17" s="35" t="n">
        <x:f>G17/H17</x:f>
        <x:v>0.9</x:v>
      </x:c>
      <x:c r="J17" s="35" t="n">
        <x:f>((G17/H17+3.8416/(2*H17))-1.96*SQRT((G17/H17)*(1-G17/H17)/H17+3.8416/(4*H17^2)))/(1+3.8416/H17)</x:f>
        <x:v>0.6989617935882066</x:v>
      </x:c>
      <x:c r="K17" s="35" t="n">
        <x:f>((G17/H17+3.8416/(2*H17))+1.96*SQRT((G17/H17)*(1-G17/H17)/H17+3.8416/(4*H17^2)))/(1+3.8416/H17)</x:f>
        <x:v>0.9721341060158467</x:v>
      </x:c>
      <x:c r="L17" s="34" t="n">
        <x:v>1</x:v>
      </x:c>
      <x:c r="M17" s="34" t="n">
        <x:v>1</x:v>
      </x:c>
      <x:c r="N17" s="33" t="str">
        <x:v>complete</x:v>
      </x:c>
    </x:row>
    <x:row r="18" ht="28" customHeight="1">
      <x:c r="A18" s="33" t="str">
        <x:v>Block Grouping</x:v>
      </x:c>
      <x:c r="B18" s="33" t="str">
        <x:v>RQ1</x:v>
      </x:c>
      <x:c r="C18" s="33" t="str">
        <x:v>off</x:v>
      </x:c>
      <x:c r="D18" s="33" t="str">
        <x:v>Stage 2</x:v>
      </x:c>
      <x:c r="E18" s="33" t="str">
        <x:v>Policy</x:v>
      </x:c>
      <x:c r="F18" s="33" t="str">
        <x:v>Selected</x:v>
      </x:c>
      <x:c r="G18" s="34" t="n">
        <x:v>15</x:v>
      </x:c>
      <x:c r="H18" s="34" t="n">
        <x:v>20</x:v>
      </x:c>
      <x:c r="I18" s="35" t="n">
        <x:f>G18/H18</x:f>
        <x:v>0.75</x:v>
      </x:c>
      <x:c r="J18" s="35" t="n">
        <x:f>((G18/H18+3.8416/(2*H18))-1.96*SQRT((G18/H18)*(1-G18/H18)/H18+3.8416/(4*H18^2)))/(1+3.8416/H18)</x:f>
        <x:v>0.5312949900419365</x:v>
      </x:c>
      <x:c r="K18" s="35" t="n">
        <x:f>((G18/H18+3.8416/(2*H18))+1.96*SQRT((G18/H18)*(1-G18/H18)/H18+3.8416/(4*H18^2)))/(1+3.8416/H18)</x:f>
        <x:v>0.888139947210597</x:v>
      </x:c>
      <x:c r="L18" s="34" t="n">
        <x:v>1</x:v>
      </x:c>
      <x:c r="M18" s="34" t="n">
        <x:v>1</x:v>
      </x:c>
      <x:c r="N18" s="33" t="str">
        <x:v>complete</x:v>
      </x:c>
    </x:row>
    <x:row r="19" ht="28" customHeight="1">
      <x:c r="A19" s="33" t="str">
        <x:v>Block Grouping</x:v>
      </x:c>
      <x:c r="B19" s="33" t="str">
        <x:v>RQ2</x:v>
      </x:c>
      <x:c r="C19" s="33" t="str">
        <x:v>off</x:v>
      </x:c>
      <x:c r="D19" s="33" t="str">
        <x:v>Stage 2</x:v>
      </x:c>
      <x:c r="E19" s="33" t="str">
        <x:v>MCTS</x:v>
      </x:c>
      <x:c r="F19" s="33" t="str">
        <x:v>Normal width 20</x:v>
      </x:c>
      <x:c r="G19" s="34" t="n">
        <x:v>8</x:v>
      </x:c>
      <x:c r="H19" s="34" t="n">
        <x:v>20</x:v>
      </x:c>
      <x:c r="I19" s="35" t="n">
        <x:f>G19/H19</x:f>
        <x:v>0.4</x:v>
      </x:c>
      <x:c r="J19" s="35" t="n">
        <x:f>((G19/H19+3.8416/(2*H19))-1.96*SQRT((G19/H19)*(1-G19/H19)/H19+3.8416/(4*H19^2)))/(1+3.8416/H19)</x:f>
        <x:v>0.21880396741419272</x:v>
      </x:c>
      <x:c r="K19" s="35" t="n">
        <x:f>((G19/H19+3.8416/(2*H19))+1.96*SQRT((G19/H19)*(1-G19/H19)/H19+3.8416/(4*H19^2)))/(1+3.8416/H19)</x:f>
        <x:v>0.613422057684794</x:v>
      </x:c>
      <x:c r="L19" s="34" t="n">
        <x:v>1</x:v>
      </x:c>
      <x:c r="M19" s="34" t="n">
        <x:v>1</x:v>
      </x:c>
      <x:c r="N19" s="33" t="str">
        <x:v>complete</x:v>
      </x:c>
    </x:row>
    <x:row r="20" ht="28" customHeight="1">
      <x:c r="A20" s="33" t="str">
        <x:v>Block Grouping</x:v>
      </x:c>
      <x:c r="B20" s="33" t="str">
        <x:v>RQ2</x:v>
      </x:c>
      <x:c r="C20" s="33" t="str">
        <x:v>off</x:v>
      </x:c>
      <x:c r="D20" s="33" t="str">
        <x:v>Stage 2</x:v>
      </x:c>
      <x:c r="E20" s="33" t="str">
        <x:v>MCTS</x:v>
      </x:c>
      <x:c r="F20" s="33" t="str">
        <x:v>Narrow width 5 / iter 20</x:v>
      </x:c>
      <x:c r="G20" s="34" t="n">
        <x:v>15</x:v>
      </x:c>
      <x:c r="H20" s="34" t="n">
        <x:v>20</x:v>
      </x:c>
      <x:c r="I20" s="35" t="n">
        <x:f>G20/H20</x:f>
        <x:v>0.75</x:v>
      </x:c>
      <x:c r="J20" s="35" t="n">
        <x:f>((G20/H20+3.8416/(2*H20))-1.96*SQRT((G20/H20)*(1-G20/H20)/H20+3.8416/(4*H20^2)))/(1+3.8416/H20)</x:f>
        <x:v>0.5312949900419365</x:v>
      </x:c>
      <x:c r="K20" s="35" t="n">
        <x:f>((G20/H20+3.8416/(2*H20))+1.96*SQRT((G20/H20)*(1-G20/H20)/H20+3.8416/(4*H20^2)))/(1+3.8416/H20)</x:f>
        <x:v>0.888139947210597</x:v>
      </x:c>
      <x:c r="L20" s="34" t="n">
        <x:v>1</x:v>
      </x:c>
      <x:c r="M20" s="34" t="n">
        <x:v>1</x:v>
      </x:c>
      <x:c r="N20" s="33" t="str">
        <x:v>complete</x:v>
      </x:c>
    </x:row>
    <x:row r="21" ht="28" customHeight="1">
      <x:c r="A21" s="33" t="str">
        <x:v>Block Grouping</x:v>
      </x:c>
      <x:c r="B21" s="33" t="str">
        <x:v>RQ3</x:v>
      </x:c>
      <x:c r="C21" s="33" t="str">
        <x:v>on</x:v>
      </x:c>
      <x:c r="D21" s="33" t="str">
        <x:v>Stage 1</x:v>
      </x:c>
      <x:c r="E21" s="33" t="str">
        <x:v>Policy</x:v>
      </x:c>
      <x:c r="F21" s="33" t="str">
        <x:v>Selected</x:v>
      </x:c>
      <x:c r="G21" s="34" t="n">
        <x:v>15</x:v>
      </x:c>
      <x:c r="H21" s="34" t="n">
        <x:v>20</x:v>
      </x:c>
      <x:c r="I21" s="35" t="n">
        <x:f>G21/H21</x:f>
        <x:v>0.75</x:v>
      </x:c>
      <x:c r="J21" s="35" t="n">
        <x:f>((G21/H21+3.8416/(2*H21))-1.96*SQRT((G21/H21)*(1-G21/H21)/H21+3.8416/(4*H21^2)))/(1+3.8416/H21)</x:f>
        <x:v>0.5312949900419365</x:v>
      </x:c>
      <x:c r="K21" s="35" t="n">
        <x:f>((G21/H21+3.8416/(2*H21))+1.96*SQRT((G21/H21)*(1-G21/H21)/H21+3.8416/(4*H21^2)))/(1+3.8416/H21)</x:f>
        <x:v>0.888139947210597</x:v>
      </x:c>
      <x:c r="L21" s="34" t="n">
        <x:v>1</x:v>
      </x:c>
      <x:c r="M21" s="34" t="n">
        <x:v>1</x:v>
      </x:c>
      <x:c r="N21" s="33" t="str">
        <x:v>complete</x:v>
      </x:c>
    </x:row>
    <x:row r="22" ht="28" customHeight="1">
      <x:c r="A22" s="33" t="str">
        <x:v>Block Grouping</x:v>
      </x:c>
      <x:c r="B22" s="33" t="str">
        <x:v>RQ4</x:v>
      </x:c>
      <x:c r="C22" s="33" t="str">
        <x:v>on</x:v>
      </x:c>
      <x:c r="D22" s="33" t="str">
        <x:v>Stage 1</x:v>
      </x:c>
      <x:c r="E22" s="33" t="str">
        <x:v>MCTS</x:v>
      </x:c>
      <x:c r="F22" s="33" t="str">
        <x:v>Narrow width 5 / iter 20</x:v>
      </x:c>
      <x:c r="G22" s="34" t="n">
        <x:v>16</x:v>
      </x:c>
      <x:c r="H22" s="34" t="n">
        <x:v>20</x:v>
      </x:c>
      <x:c r="I22" s="35" t="n">
        <x:f>G22/H22</x:f>
        <x:v>0.8</x:v>
      </x:c>
      <x:c r="J22" s="35" t="n">
        <x:f>((G22/H22+3.8416/(2*H22))-1.96*SQRT((G22/H22)*(1-G22/H22)/H22+3.8416/(4*H22^2)))/(1+3.8416/H22)</x:f>
        <x:v>0.5839782779742402</x:v>
      </x:c>
      <x:c r="K22" s="35" t="n">
        <x:f>((G22/H22+3.8416/(2*H22))+1.96*SQRT((G22/H22)*(1-G22/H22)/H22+3.8416/(4*H22^2)))/(1+3.8416/H22)</x:f>
        <x:v>0.9193436467288001</x:v>
      </x:c>
      <x:c r="L22" s="34" t="n">
        <x:v>1</x:v>
      </x:c>
      <x:c r="M22" s="34" t="n">
        <x:v>1</x:v>
      </x:c>
      <x:c r="N22" s="33" t="str">
        <x:v>complete</x:v>
      </x:c>
    </x:row>
    <x:row r="23" ht="28" customHeight="1">
      <x:c r="A23" s="33" t="str">
        <x:v>Block Grouping</x:v>
      </x:c>
      <x:c r="B23" s="33" t="str">
        <x:v>RQ3</x:v>
      </x:c>
      <x:c r="C23" s="33" t="str">
        <x:v>on</x:v>
      </x:c>
      <x:c r="D23" s="33" t="str">
        <x:v>Stage 2</x:v>
      </x:c>
      <x:c r="E23" s="33" t="str">
        <x:v>Policy</x:v>
      </x:c>
      <x:c r="F23" s="33" t="str">
        <x:v>Selected</x:v>
      </x:c>
      <x:c r="G23" s="34" t="n">
        <x:v>15</x:v>
      </x:c>
      <x:c r="H23" s="34" t="n">
        <x:v>20</x:v>
      </x:c>
      <x:c r="I23" s="35" t="n">
        <x:f>G23/H23</x:f>
        <x:v>0.75</x:v>
      </x:c>
      <x:c r="J23" s="35" t="n">
        <x:f>((G23/H23+3.8416/(2*H23))-1.96*SQRT((G23/H23)*(1-G23/H23)/H23+3.8416/(4*H23^2)))/(1+3.8416/H23)</x:f>
        <x:v>0.5312949900419365</x:v>
      </x:c>
      <x:c r="K23" s="35" t="n">
        <x:f>((G23/H23+3.8416/(2*H23))+1.96*SQRT((G23/H23)*(1-G23/H23)/H23+3.8416/(4*H23^2)))/(1+3.8416/H23)</x:f>
        <x:v>0.888139947210597</x:v>
      </x:c>
      <x:c r="L23" s="34" t="n">
        <x:v>1</x:v>
      </x:c>
      <x:c r="M23" s="34" t="n">
        <x:v>1</x:v>
      </x:c>
      <x:c r="N23" s="33" t="str">
        <x:v>complete</x:v>
      </x:c>
    </x:row>
    <x:row r="24" ht="28" customHeight="1">
      <x:c r="A24" s="33" t="str">
        <x:v>Block Grouping</x:v>
      </x:c>
      <x:c r="B24" s="33" t="str">
        <x:v>RQ4</x:v>
      </x:c>
      <x:c r="C24" s="33" t="str">
        <x:v>on</x:v>
      </x:c>
      <x:c r="D24" s="33" t="str">
        <x:v>Stage 2</x:v>
      </x:c>
      <x:c r="E24" s="33" t="str">
        <x:v>MCTS</x:v>
      </x:c>
      <x:c r="F24" s="33" t="str">
        <x:v>Normal width 20</x:v>
      </x:c>
      <x:c r="G24" s="34" t="n">
        <x:v>9</x:v>
      </x:c>
      <x:c r="H24" s="34" t="n">
        <x:v>20</x:v>
      </x:c>
      <x:c r="I24" s="35" t="n">
        <x:f>G24/H24</x:f>
        <x:v>0.45</x:v>
      </x:c>
      <x:c r="J24" s="35" t="n">
        <x:f>((G24/H24+3.8416/(2*H24))-1.96*SQRT((G24/H24)*(1-G24/H24)/H24+3.8416/(4*H24^2)))/(1+3.8416/H24)</x:f>
        <x:v>0.25819502085709295</x:v>
      </x:c>
      <x:c r="K24" s="35" t="n">
        <x:f>((G24/H24+3.8416/(2*H24))+1.96*SQRT((G24/H24)*(1-G24/H24)/H24+3.8416/(4*H24^2)))/(1+3.8416/H24)</x:f>
        <x:v>0.6579179916924003</x:v>
      </x:c>
      <x:c r="L24" s="34" t="n">
        <x:v>1</x:v>
      </x:c>
      <x:c r="M24" s="34" t="n">
        <x:v>1</x:v>
      </x:c>
      <x:c r="N24" s="33" t="str">
        <x:v>complete</x:v>
      </x:c>
    </x:row>
    <x:row r="25" ht="28" customHeight="1">
      <x:c r="A25" s="33" t="str">
        <x:v>Block Grouping</x:v>
      </x:c>
      <x:c r="B25" s="33" t="str">
        <x:v>RQ4</x:v>
      </x:c>
      <x:c r="C25" s="33" t="str">
        <x:v>on</x:v>
      </x:c>
      <x:c r="D25" s="33" t="str">
        <x:v>Stage 2</x:v>
      </x:c>
      <x:c r="E25" s="33" t="str">
        <x:v>MCTS</x:v>
      </x:c>
      <x:c r="F25" s="33" t="str">
        <x:v>Narrow width 5 / iter 20</x:v>
      </x:c>
      <x:c r="G25" s="34" t="n">
        <x:v>15</x:v>
      </x:c>
      <x:c r="H25" s="34" t="n">
        <x:v>20</x:v>
      </x:c>
      <x:c r="I25" s="35" t="n">
        <x:f>G25/H25</x:f>
        <x:v>0.75</x:v>
      </x:c>
      <x:c r="J25" s="35" t="n">
        <x:f>((G25/H25+3.8416/(2*H25))-1.96*SQRT((G25/H25)*(1-G25/H25)/H25+3.8416/(4*H25^2)))/(1+3.8416/H25)</x:f>
        <x:v>0.5312949900419365</x:v>
      </x:c>
      <x:c r="K25" s="35" t="n">
        <x:f>((G25/H25+3.8416/(2*H25))+1.96*SQRT((G25/H25)*(1-G25/H25)/H25+3.8416/(4*H25^2)))/(1+3.8416/H25)</x:f>
        <x:v>0.888139947210597</x:v>
      </x:c>
      <x:c r="L25" s="34" t="n">
        <x:v>1</x:v>
      </x:c>
      <x:c r="M25" s="34" t="n">
        <x:v>1</x:v>
      </x:c>
      <x:c r="N25" s="33" t="str">
        <x:v>complete</x:v>
      </x:c>
    </x:row>
    <x:row r="26" ht="28" customHeight="1">
      <x:c r="A26" s="33" t="str">
        <x:v>Drone</x:v>
      </x:c>
      <x:c r="B26" s="33" t="str">
        <x:v>RQ1</x:v>
      </x:c>
      <x:c r="C26" s="33" t="str">
        <x:v>off</x:v>
      </x:c>
      <x:c r="D26" s="33" t="str">
        <x:v>Stage 1</x:v>
      </x:c>
      <x:c r="E26" s="33" t="str">
        <x:v>Policy</x:v>
      </x:c>
      <x:c r="F26" s="33" t="str">
        <x:v>Selected</x:v>
      </x:c>
      <x:c r="G26" s="34" t="n">
        <x:v>6</x:v>
      </x:c>
      <x:c r="H26" s="34" t="n">
        <x:v>20</x:v>
      </x:c>
      <x:c r="I26" s="35" t="n">
        <x:f>G26/H26</x:f>
        <x:v>0.3</x:v>
      </x:c>
      <x:c r="J26" s="35" t="n">
        <x:f>((G26/H26+3.8416/(2*H26))-1.96*SQRT((G26/H26)*(1-G26/H26)/H26+3.8416/(4*H26^2)))/(1+3.8416/H26)</x:f>
        <x:v>0.1454752739689939</x:v>
      </x:c>
      <x:c r="K26" s="35" t="n">
        <x:f>((G26/H26+3.8416/(2*H26))+1.96*SQRT((G26/H26)*(1-G26/H26)/H26+3.8416/(4*H26^2)))/(1+3.8416/H26)</x:f>
        <x:v>0.5189767762289794</x:v>
      </x:c>
      <x:c r="L26" s="34" t="n">
        <x:v>1</x:v>
      </x:c>
      <x:c r="M26" s="34" t="n">
        <x:v>1</x:v>
      </x:c>
      <x:c r="N26" s="33" t="str">
        <x:v>complete</x:v>
      </x:c>
    </x:row>
    <x:row r="27" ht="28" customHeight="1">
      <x:c r="A27" s="33" t="str">
        <x:v>Drone</x:v>
      </x:c>
      <x:c r="B27" s="33" t="str">
        <x:v>RQ2</x:v>
      </x:c>
      <x:c r="C27" s="33" t="str">
        <x:v>off</x:v>
      </x:c>
      <x:c r="D27" s="33" t="str">
        <x:v>Stage 1</x:v>
      </x:c>
      <x:c r="E27" s="33" t="str">
        <x:v>MCTS</x:v>
      </x:c>
      <x:c r="F27" s="33" t="str">
        <x:v>Normal</x:v>
      </x:c>
      <x:c r="G27" s="34" t="n">
        <x:v>6</x:v>
      </x:c>
      <x:c r="H27" s="34" t="n">
        <x:v>20</x:v>
      </x:c>
      <x:c r="I27" s="35" t="n">
        <x:f>G27/H27</x:f>
        <x:v>0.3</x:v>
      </x:c>
      <x:c r="J27" s="35" t="n">
        <x:f>((G27/H27+3.8416/(2*H27))-1.96*SQRT((G27/H27)*(1-G27/H27)/H27+3.8416/(4*H27^2)))/(1+3.8416/H27)</x:f>
        <x:v>0.1454752739689939</x:v>
      </x:c>
      <x:c r="K27" s="35" t="n">
        <x:f>((G27/H27+3.8416/(2*H27))+1.96*SQRT((G27/H27)*(1-G27/H27)/H27+3.8416/(4*H27^2)))/(1+3.8416/H27)</x:f>
        <x:v>0.5189767762289794</x:v>
      </x:c>
      <x:c r="L27" s="34" t="n">
        <x:v>1</x:v>
      </x:c>
      <x:c r="M27" s="34" t="n">
        <x:v>1</x:v>
      </x:c>
      <x:c r="N27" s="33" t="str">
        <x:v>complete</x:v>
      </x:c>
    </x:row>
    <x:row r="28" ht="28" customHeight="1">
      <x:c r="A28" s="33" t="str">
        <x:v>Drone</x:v>
      </x:c>
      <x:c r="B28" s="33" t="str">
        <x:v>RQ1</x:v>
      </x:c>
      <x:c r="C28" s="33" t="str">
        <x:v>off</x:v>
      </x:c>
      <x:c r="D28" s="33" t="str">
        <x:v>Stage 2</x:v>
      </x:c>
      <x:c r="E28" s="33" t="str">
        <x:v>Policy</x:v>
      </x:c>
      <x:c r="F28" s="33" t="str">
        <x:v>Selected</x:v>
      </x:c>
      <x:c r="G28" s="34" t="n">
        <x:v>4</x:v>
      </x:c>
      <x:c r="H28" s="34" t="n">
        <x:v>20</x:v>
      </x:c>
      <x:c r="I28" s="35" t="n">
        <x:f>G28/H28</x:f>
        <x:v>0.2</x:v>
      </x:c>
      <x:c r="J28" s="35" t="n">
        <x:f>((G28/H28+3.8416/(2*H28))-1.96*SQRT((G28/H28)*(1-G28/H28)/H28+3.8416/(4*H28^2)))/(1+3.8416/H28)</x:f>
        <x:v>0.08065635327120002</x:v>
      </x:c>
      <x:c r="K28" s="35" t="n">
        <x:f>((G28/H28+3.8416/(2*H28))+1.96*SQRT((G28/H28)*(1-G28/H28)/H28+3.8416/(4*H28^2)))/(1+3.8416/H28)</x:f>
        <x:v>0.41602172202575993</x:v>
      </x:c>
      <x:c r="L28" s="34" t="n">
        <x:v>1</x:v>
      </x:c>
      <x:c r="M28" s="34" t="n">
        <x:v>1</x:v>
      </x:c>
      <x:c r="N28" s="33" t="str">
        <x:v>complete</x:v>
      </x:c>
    </x:row>
    <x:row r="29" ht="28" customHeight="1">
      <x:c r="A29" s="33" t="str">
        <x:v>Drone</x:v>
      </x:c>
      <x:c r="B29" s="33" t="str">
        <x:v>RQ2</x:v>
      </x:c>
      <x:c r="C29" s="33" t="str">
        <x:v>off</x:v>
      </x:c>
      <x:c r="D29" s="33" t="str">
        <x:v>Stage 2</x:v>
      </x:c>
      <x:c r="E29" s="33" t="str">
        <x:v>MCTS</x:v>
      </x:c>
      <x:c r="F29" s="33" t="str">
        <x:v>Normal</x:v>
      </x:c>
      <x:c r="G29" s="34" t="n">
        <x:v>7</x:v>
      </x:c>
      <x:c r="H29" s="34" t="n">
        <x:v>20</x:v>
      </x:c>
      <x:c r="I29" s="35" t="n">
        <x:f>G29/H29</x:f>
        <x:v>0.35</x:v>
      </x:c>
      <x:c r="J29" s="35" t="n">
        <x:f>((G29/H29+3.8416/(2*H29))-1.96*SQRT((G29/H29)*(1-G29/H29)/H29+3.8416/(4*H29^2)))/(1+3.8416/H29)</x:f>
        <x:v>0.1811895478679446</x:v>
      </x:c>
      <x:c r="K29" s="35" t="n">
        <x:f>((G29/H29+3.8416/(2*H29))+1.96*SQRT((G29/H29)*(1-G29/H29)/H29+3.8416/(4*H29^2)))/(1+3.8416/H29)</x:f>
        <x:v>0.5671494897805353</x:v>
      </x:c>
      <x:c r="L29" s="34" t="n">
        <x:v>1</x:v>
      </x:c>
      <x:c r="M29" s="34" t="n">
        <x:v>1</x:v>
      </x:c>
      <x:c r="N29" s="33" t="str">
        <x:v>complete</x:v>
      </x:c>
    </x:row>
    <x:row r="30" ht="28" customHeight="1">
      <x:c r="A30" s="33" t="str">
        <x:v>Drone</x:v>
      </x:c>
      <x:c r="B30" s="33" t="str">
        <x:v>RQ3</x:v>
      </x:c>
      <x:c r="C30" s="33" t="str">
        <x:v>on</x:v>
      </x:c>
      <x:c r="D30" s="33" t="str">
        <x:v>Stage 1</x:v>
      </x:c>
      <x:c r="E30" s="33" t="str">
        <x:v>Policy</x:v>
      </x:c>
      <x:c r="F30" s="33" t="str">
        <x:v>Selected</x:v>
      </x:c>
      <x:c r="G30" s="34" t="n">
        <x:v>10</x:v>
      </x:c>
      <x:c r="H30" s="34" t="n">
        <x:v>20</x:v>
      </x:c>
      <x:c r="I30" s="35" t="n">
        <x:f>G30/H30</x:f>
        <x:v>0.5</x:v>
      </x:c>
      <x:c r="J30" s="35" t="n">
        <x:f>((G30/H30+3.8416/(2*H30))-1.96*SQRT((G30/H30)*(1-G30/H30)/H30+3.8416/(4*H30^2)))/(1+3.8416/H30)</x:f>
        <x:v>0.2992949144298199</x:v>
      </x:c>
      <x:c r="K30" s="35" t="n">
        <x:f>((G30/H30+3.8416/(2*H30))+1.96*SQRT((G30/H30)*(1-G30/H30)/H30+3.8416/(4*H30^2)))/(1+3.8416/H30)</x:f>
        <x:v>0.70070508557018</x:v>
      </x:c>
      <x:c r="L30" s="34" t="n">
        <x:v>1</x:v>
      </x:c>
      <x:c r="M30" s="34" t="n">
        <x:v>1</x:v>
      </x:c>
      <x:c r="N30" s="33" t="str">
        <x:v>complete</x:v>
      </x:c>
    </x:row>
    <x:row r="31" ht="28" customHeight="1">
      <x:c r="A31" s="33" t="str">
        <x:v>Drone</x:v>
      </x:c>
      <x:c r="B31" s="33" t="str">
        <x:v>RQ4</x:v>
      </x:c>
      <x:c r="C31" s="33" t="str">
        <x:v>on</x:v>
      </x:c>
      <x:c r="D31" s="33" t="str">
        <x:v>Stage 1</x:v>
      </x:c>
      <x:c r="E31" s="33" t="str">
        <x:v>MCTS</x:v>
      </x:c>
      <x:c r="F31" s="33" t="str">
        <x:v>Normal</x:v>
      </x:c>
      <x:c r="G31" s="34" t="n">
        <x:v>16</x:v>
      </x:c>
      <x:c r="H31" s="34" t="n">
        <x:v>20</x:v>
      </x:c>
      <x:c r="I31" s="35" t="n">
        <x:f>G31/H31</x:f>
        <x:v>0.8</x:v>
      </x:c>
      <x:c r="J31" s="35" t="n">
        <x:f>((G31/H31+3.8416/(2*H31))-1.96*SQRT((G31/H31)*(1-G31/H31)/H31+3.8416/(4*H31^2)))/(1+3.8416/H31)</x:f>
        <x:v>0.5839782779742402</x:v>
      </x:c>
      <x:c r="K31" s="35" t="n">
        <x:f>((G31/H31+3.8416/(2*H31))+1.96*SQRT((G31/H31)*(1-G31/H31)/H31+3.8416/(4*H31^2)))/(1+3.8416/H31)</x:f>
        <x:v>0.9193436467288001</x:v>
      </x:c>
      <x:c r="L31" s="34" t="n">
        <x:v>1</x:v>
      </x:c>
      <x:c r="M31" s="34" t="n">
        <x:v>1</x:v>
      </x:c>
      <x:c r="N31" s="33" t="str">
        <x:v>complete</x:v>
      </x:c>
    </x:row>
    <x:row r="32" ht="28" customHeight="1">
      <x:c r="A32" s="33" t="str">
        <x:v>Drone</x:v>
      </x:c>
      <x:c r="B32" s="33" t="str">
        <x:v>RQ3</x:v>
      </x:c>
      <x:c r="C32" s="33" t="str">
        <x:v>on</x:v>
      </x:c>
      <x:c r="D32" s="33" t="str">
        <x:v>Stage 2</x:v>
      </x:c>
      <x:c r="E32" s="33" t="str">
        <x:v>Policy</x:v>
      </x:c>
      <x:c r="F32" s="33" t="str">
        <x:v>Selected</x:v>
      </x:c>
      <x:c r="G32" s="34" t="n">
        <x:v>13</x:v>
      </x:c>
      <x:c r="H32" s="34" t="n">
        <x:v>20</x:v>
      </x:c>
      <x:c r="I32" s="35" t="n">
        <x:f>G32/H32</x:f>
        <x:v>0.65</x:v>
      </x:c>
      <x:c r="J32" s="35" t="n">
        <x:f>((G32/H32+3.8416/(2*H32))-1.96*SQRT((G32/H32)*(1-G32/H32)/H32+3.8416/(4*H32^2)))/(1+3.8416/H32)</x:f>
        <x:v>0.43285051021946475</x:v>
      </x:c>
      <x:c r="K32" s="35" t="n">
        <x:f>((G32/H32+3.8416/(2*H32))+1.96*SQRT((G32/H32)*(1-G32/H32)/H32+3.8416/(4*H32^2)))/(1+3.8416/H32)</x:f>
        <x:v>0.8188104521320554</x:v>
      </x:c>
      <x:c r="L32" s="34" t="n">
        <x:v>1</x:v>
      </x:c>
      <x:c r="M32" s="34" t="n">
        <x:v>1</x:v>
      </x:c>
      <x:c r="N32" s="33" t="str">
        <x:v>complete</x:v>
      </x:c>
    </x:row>
    <x:row r="33" ht="28" customHeight="1">
      <x:c r="A33" s="33" t="str">
        <x:v>Drone</x:v>
      </x:c>
      <x:c r="B33" s="33" t="str">
        <x:v>RQ4</x:v>
      </x:c>
      <x:c r="C33" s="33" t="str">
        <x:v>on</x:v>
      </x:c>
      <x:c r="D33" s="33" t="str">
        <x:v>Stage 2</x:v>
      </x:c>
      <x:c r="E33" s="33" t="str">
        <x:v>MCTS</x:v>
      </x:c>
      <x:c r="F33" s="33" t="str">
        <x:v>Normal</x:v>
      </x:c>
      <x:c r="G33" s="34" t="n">
        <x:v>16</x:v>
      </x:c>
      <x:c r="H33" s="34" t="n">
        <x:v>20</x:v>
      </x:c>
      <x:c r="I33" s="35" t="n">
        <x:f>G33/H33</x:f>
        <x:v>0.8</x:v>
      </x:c>
      <x:c r="J33" s="35" t="n">
        <x:f>((G33/H33+3.8416/(2*H33))-1.96*SQRT((G33/H33)*(1-G33/H33)/H33+3.8416/(4*H33^2)))/(1+3.8416/H33)</x:f>
        <x:v>0.5839782779742402</x:v>
      </x:c>
      <x:c r="K33" s="35" t="n">
        <x:f>((G33/H33+3.8416/(2*H33))+1.96*SQRT((G33/H33)*(1-G33/H33)/H33+3.8416/(4*H33^2)))/(1+3.8416/H33)</x:f>
        <x:v>0.9193436467288001</x:v>
      </x:c>
      <x:c r="L33" s="34" t="n">
        <x:v>1</x:v>
      </x:c>
      <x:c r="M33" s="34" t="n">
        <x:v>1</x:v>
      </x:c>
      <x:c r="N33" s="33" t="str">
        <x:v>complete</x:v>
      </x:c>
    </x:row>
    <x:row r="34" ht="28" customHeight="1">
      <x:c r="A34" s="33" t="str">
        <x:v>FO Counters</x:v>
      </x:c>
      <x:c r="B34" s="33" t="str">
        <x:v>RQ1</x:v>
      </x:c>
      <x:c r="C34" s="33" t="str">
        <x:v>off</x:v>
      </x:c>
      <x:c r="D34" s="33" t="str">
        <x:v>Stage 1</x:v>
      </x:c>
      <x:c r="E34" s="33" t="str">
        <x:v>Policy</x:v>
      </x:c>
      <x:c r="F34" s="33" t="str">
        <x:v>Selected</x:v>
      </x:c>
      <x:c r="G34" s="34" t="n">
        <x:v>6</x:v>
      </x:c>
      <x:c r="H34" s="34" t="n">
        <x:v>20</x:v>
      </x:c>
      <x:c r="I34" s="35" t="n">
        <x:f>G34/H34</x:f>
        <x:v>0.3</x:v>
      </x:c>
      <x:c r="J34" s="35" t="n">
        <x:f>((G34/H34+3.8416/(2*H34))-1.96*SQRT((G34/H34)*(1-G34/H34)/H34+3.8416/(4*H34^2)))/(1+3.8416/H34)</x:f>
        <x:v>0.1454752739689939</x:v>
      </x:c>
      <x:c r="K34" s="35" t="n">
        <x:f>((G34/H34+3.8416/(2*H34))+1.96*SQRT((G34/H34)*(1-G34/H34)/H34+3.8416/(4*H34^2)))/(1+3.8416/H34)</x:f>
        <x:v>0.5189767762289794</x:v>
      </x:c>
      <x:c r="L34" s="34" t="n">
        <x:v>1</x:v>
      </x:c>
      <x:c r="M34" s="34" t="n">
        <x:v>1</x:v>
      </x:c>
      <x:c r="N34" s="33" t="str">
        <x:v>complete</x:v>
      </x:c>
    </x:row>
    <x:row r="35" ht="28" customHeight="1">
      <x:c r="A35" s="33" t="str">
        <x:v>FO Counters</x:v>
      </x:c>
      <x:c r="B35" s="33" t="str">
        <x:v>RQ2</x:v>
      </x:c>
      <x:c r="C35" s="33" t="str">
        <x:v>off</x:v>
      </x:c>
      <x:c r="D35" s="33" t="str">
        <x:v>Stage 1</x:v>
      </x:c>
      <x:c r="E35" s="33" t="str">
        <x:v>MCTS</x:v>
      </x:c>
      <x:c r="F35" s="33" t="str">
        <x:v>Normal</x:v>
      </x:c>
      <x:c r="G35" s="34" t="n">
        <x:v>5</x:v>
      </x:c>
      <x:c r="H35" s="34" t="n">
        <x:v>20</x:v>
      </x:c>
      <x:c r="I35" s="35" t="n">
        <x:f>G35/H35</x:f>
        <x:v>0.25</x:v>
      </x:c>
      <x:c r="J35" s="35" t="n">
        <x:f>((G35/H35+3.8416/(2*H35))-1.96*SQRT((G35/H35)*(1-G35/H35)/H35+3.8416/(4*H35^2)))/(1+3.8416/H35)</x:f>
        <x:v>0.11186005278940306</x:v>
      </x:c>
      <x:c r="K35" s="35" t="n">
        <x:f>((G35/H35+3.8416/(2*H35))+1.96*SQRT((G35/H35)*(1-G35/H35)/H35+3.8416/(4*H35^2)))/(1+3.8416/H35)</x:f>
        <x:v>0.4687050099580635</x:v>
      </x:c>
      <x:c r="L35" s="34" t="n">
        <x:v>1</x:v>
      </x:c>
      <x:c r="M35" s="34" t="n">
        <x:v>1</x:v>
      </x:c>
      <x:c r="N35" s="33" t="str">
        <x:v>complete</x:v>
      </x:c>
    </x:row>
    <x:row r="36" ht="28" customHeight="1">
      <x:c r="A36" s="33" t="str">
        <x:v>FO Counters</x:v>
      </x:c>
      <x:c r="B36" s="33" t="str">
        <x:v>RQ1</x:v>
      </x:c>
      <x:c r="C36" s="33" t="str">
        <x:v>off</x:v>
      </x:c>
      <x:c r="D36" s="33" t="str">
        <x:v>Stage 2</x:v>
      </x:c>
      <x:c r="E36" s="33" t="str">
        <x:v>Policy</x:v>
      </x:c>
      <x:c r="F36" s="33" t="str">
        <x:v>Selected</x:v>
      </x:c>
      <x:c r="G36" s="34" t="n">
        <x:v>7</x:v>
      </x:c>
      <x:c r="H36" s="34" t="n">
        <x:v>20</x:v>
      </x:c>
      <x:c r="I36" s="35" t="n">
        <x:f>G36/H36</x:f>
        <x:v>0.35</x:v>
      </x:c>
      <x:c r="J36" s="35" t="n">
        <x:f>((G36/H36+3.8416/(2*H36))-1.96*SQRT((G36/H36)*(1-G36/H36)/H36+3.8416/(4*H36^2)))/(1+3.8416/H36)</x:f>
        <x:v>0.1811895478679446</x:v>
      </x:c>
      <x:c r="K36" s="35" t="n">
        <x:f>((G36/H36+3.8416/(2*H36))+1.96*SQRT((G36/H36)*(1-G36/H36)/H36+3.8416/(4*H36^2)))/(1+3.8416/H36)</x:f>
        <x:v>0.5671494897805353</x:v>
      </x:c>
      <x:c r="L36" s="34" t="n">
        <x:v>1</x:v>
      </x:c>
      <x:c r="M36" s="34" t="n">
        <x:v>1</x:v>
      </x:c>
      <x:c r="N36" s="33" t="str">
        <x:v>complete</x:v>
      </x:c>
    </x:row>
    <x:row r="37" ht="28" customHeight="1">
      <x:c r="A37" s="33" t="str">
        <x:v>FO Counters</x:v>
      </x:c>
      <x:c r="B37" s="33" t="str">
        <x:v>RQ2</x:v>
      </x:c>
      <x:c r="C37" s="33" t="str">
        <x:v>off</x:v>
      </x:c>
      <x:c r="D37" s="33" t="str">
        <x:v>Stage 2</x:v>
      </x:c>
      <x:c r="E37" s="33" t="str">
        <x:v>MCTS</x:v>
      </x:c>
      <x:c r="F37" s="33" t="str">
        <x:v>Normal</x:v>
      </x:c>
      <x:c r="G37" s="34" t="n">
        <x:v>11</x:v>
      </x:c>
      <x:c r="H37" s="34" t="n">
        <x:v>20</x:v>
      </x:c>
      <x:c r="I37" s="35" t="n">
        <x:f>G37/H37</x:f>
        <x:v>0.55</x:v>
      </x:c>
      <x:c r="J37" s="35" t="n">
        <x:f>((G37/H37+3.8416/(2*H37))-1.96*SQRT((G37/H37)*(1-G37/H37)/H37+3.8416/(4*H37^2)))/(1+3.8416/H37)</x:f>
        <x:v>0.34208200830759966</x:v>
      </x:c>
      <x:c r="K37" s="35" t="n">
        <x:f>((G37/H37+3.8416/(2*H37))+1.96*SQRT((G37/H37)*(1-G37/H37)/H37+3.8416/(4*H37^2)))/(1+3.8416/H37)</x:f>
        <x:v>0.741804979142907</x:v>
      </x:c>
      <x:c r="L37" s="34" t="n">
        <x:v>1</x:v>
      </x:c>
      <x:c r="M37" s="34" t="n">
        <x:v>1</x:v>
      </x:c>
      <x:c r="N37" s="33" t="str">
        <x:v>complete</x:v>
      </x:c>
    </x:row>
    <x:row r="38" ht="28" customHeight="1">
      <x:c r="A38" s="33" t="str">
        <x:v>FO Counters</x:v>
      </x:c>
      <x:c r="B38" s="33" t="str">
        <x:v>RQ3</x:v>
      </x:c>
      <x:c r="C38" s="33" t="str">
        <x:v>on</x:v>
      </x:c>
      <x:c r="D38" s="33" t="str">
        <x:v>Stage 1</x:v>
      </x:c>
      <x:c r="E38" s="33" t="str">
        <x:v>Policy</x:v>
      </x:c>
      <x:c r="F38" s="33" t="str">
        <x:v>Selected</x:v>
      </x:c>
      <x:c r="G38" s="34" t="n">
        <x:v>6</x:v>
      </x:c>
      <x:c r="H38" s="34" t="n">
        <x:v>20</x:v>
      </x:c>
      <x:c r="I38" s="35" t="n">
        <x:f>G38/H38</x:f>
        <x:v>0.3</x:v>
      </x:c>
      <x:c r="J38" s="35" t="n">
        <x:f>((G38/H38+3.8416/(2*H38))-1.96*SQRT((G38/H38)*(1-G38/H38)/H38+3.8416/(4*H38^2)))/(1+3.8416/H38)</x:f>
        <x:v>0.1454752739689939</x:v>
      </x:c>
      <x:c r="K38" s="35" t="n">
        <x:f>((G38/H38+3.8416/(2*H38))+1.96*SQRT((G38/H38)*(1-G38/H38)/H38+3.8416/(4*H38^2)))/(1+3.8416/H38)</x:f>
        <x:v>0.5189767762289794</x:v>
      </x:c>
      <x:c r="L38" s="34" t="n">
        <x:v>1</x:v>
      </x:c>
      <x:c r="M38" s="34" t="n">
        <x:v>1</x:v>
      </x:c>
      <x:c r="N38" s="33" t="str">
        <x:v>complete</x:v>
      </x:c>
    </x:row>
    <x:row r="39" ht="28" customHeight="1">
      <x:c r="A39" s="33" t="str">
        <x:v>FO Counters</x:v>
      </x:c>
      <x:c r="B39" s="33" t="str">
        <x:v>RQ4</x:v>
      </x:c>
      <x:c r="C39" s="33" t="str">
        <x:v>on</x:v>
      </x:c>
      <x:c r="D39" s="33" t="str">
        <x:v>Stage 1</x:v>
      </x:c>
      <x:c r="E39" s="33" t="str">
        <x:v>MCTS</x:v>
      </x:c>
      <x:c r="F39" s="33" t="str">
        <x:v>Normal</x:v>
      </x:c>
      <x:c r="G39" s="34" t="n">
        <x:v>7</x:v>
      </x:c>
      <x:c r="H39" s="34" t="n">
        <x:v>20</x:v>
      </x:c>
      <x:c r="I39" s="35" t="n">
        <x:f>G39/H39</x:f>
        <x:v>0.35</x:v>
      </x:c>
      <x:c r="J39" s="35" t="n">
        <x:f>((G39/H39+3.8416/(2*H39))-1.96*SQRT((G39/H39)*(1-G39/H39)/H39+3.8416/(4*H39^2)))/(1+3.8416/H39)</x:f>
        <x:v>0.1811895478679446</x:v>
      </x:c>
      <x:c r="K39" s="35" t="n">
        <x:f>((G39/H39+3.8416/(2*H39))+1.96*SQRT((G39/H39)*(1-G39/H39)/H39+3.8416/(4*H39^2)))/(1+3.8416/H39)</x:f>
        <x:v>0.5671494897805353</x:v>
      </x:c>
      <x:c r="L39" s="34" t="n">
        <x:v>1</x:v>
      </x:c>
      <x:c r="M39" s="34" t="n">
        <x:v>1</x:v>
      </x:c>
      <x:c r="N39" s="33" t="str">
        <x:v>complete</x:v>
      </x:c>
    </x:row>
    <x:row r="40" ht="28" customHeight="1">
      <x:c r="A40" s="33" t="str">
        <x:v>FO Counters</x:v>
      </x:c>
      <x:c r="B40" s="33" t="str">
        <x:v>RQ3</x:v>
      </x:c>
      <x:c r="C40" s="33" t="str">
        <x:v>on</x:v>
      </x:c>
      <x:c r="D40" s="33" t="str">
        <x:v>Stage 2</x:v>
      </x:c>
      <x:c r="E40" s="33" t="str">
        <x:v>Policy</x:v>
      </x:c>
      <x:c r="F40" s="33" t="str">
        <x:v>Selected</x:v>
      </x:c>
      <x:c r="G40" s="34" t="n">
        <x:v>5</x:v>
      </x:c>
      <x:c r="H40" s="34" t="n">
        <x:v>20</x:v>
      </x:c>
      <x:c r="I40" s="35" t="n">
        <x:f>G40/H40</x:f>
        <x:v>0.25</x:v>
      </x:c>
      <x:c r="J40" s="35" t="n">
        <x:f>((G40/H40+3.8416/(2*H40))-1.96*SQRT((G40/H40)*(1-G40/H40)/H40+3.8416/(4*H40^2)))/(1+3.8416/H40)</x:f>
        <x:v>0.11186005278940306</x:v>
      </x:c>
      <x:c r="K40" s="35" t="n">
        <x:f>((G40/H40+3.8416/(2*H40))+1.96*SQRT((G40/H40)*(1-G40/H40)/H40+3.8416/(4*H40^2)))/(1+3.8416/H40)</x:f>
        <x:v>0.4687050099580635</x:v>
      </x:c>
      <x:c r="L40" s="34" t="n">
        <x:v>1</x:v>
      </x:c>
      <x:c r="M40" s="34" t="n">
        <x:v>1</x:v>
      </x:c>
      <x:c r="N40" s="33" t="str">
        <x:v>complete</x:v>
      </x:c>
    </x:row>
    <x:row r="41" ht="28" customHeight="1">
      <x:c r="A41" s="33" t="str">
        <x:v>FO Counters</x:v>
      </x:c>
      <x:c r="B41" s="33" t="str">
        <x:v>RQ4</x:v>
      </x:c>
      <x:c r="C41" s="33" t="str">
        <x:v>on</x:v>
      </x:c>
      <x:c r="D41" s="33" t="str">
        <x:v>Stage 2</x:v>
      </x:c>
      <x:c r="E41" s="33" t="str">
        <x:v>MCTS</x:v>
      </x:c>
      <x:c r="F41" s="33" t="str">
        <x:v>Normal</x:v>
      </x:c>
      <x:c r="G41" s="34" t="n">
        <x:v>6</x:v>
      </x:c>
      <x:c r="H41" s="34" t="n">
        <x:v>20</x:v>
      </x:c>
      <x:c r="I41" s="35" t="n">
        <x:f>G41/H41</x:f>
        <x:v>0.3</x:v>
      </x:c>
      <x:c r="J41" s="35" t="n">
        <x:f>((G41/H41+3.8416/(2*H41))-1.96*SQRT((G41/H41)*(1-G41/H41)/H41+3.8416/(4*H41^2)))/(1+3.8416/H41)</x:f>
        <x:v>0.1454752739689939</x:v>
      </x:c>
      <x:c r="K41" s="35" t="n">
        <x:f>((G41/H41+3.8416/(2*H41))+1.96*SQRT((G41/H41)*(1-G41/H41)/H41+3.8416/(4*H41^2)))/(1+3.8416/H41)</x:f>
        <x:v>0.5189767762289794</x:v>
      </x:c>
      <x:c r="L41" s="34" t="n">
        <x:v>1</x:v>
      </x:c>
      <x:c r="M41" s="34" t="n">
        <x:v>1</x:v>
      </x:c>
      <x:c r="N41" s="33" t="str">
        <x:v>complete</x:v>
      </x:c>
    </x:row>
    <x:row r="42" ht="28" customHeight="1">
      <x:c r="A42" s="33" t="str">
        <x:v>Rover</x:v>
      </x:c>
      <x:c r="B42" s="33" t="str">
        <x:v>RQ1</x:v>
      </x:c>
      <x:c r="C42" s="33" t="str">
        <x:v>off</x:v>
      </x:c>
      <x:c r="D42" s="33" t="str">
        <x:v>Stage 1</x:v>
      </x:c>
      <x:c r="E42" s="33" t="str">
        <x:v>Policy</x:v>
      </x:c>
      <x:c r="F42" s="33" t="str">
        <x:v>Selected</x:v>
      </x:c>
      <x:c r="G42" s="34" t="n">
        <x:v>4</x:v>
      </x:c>
      <x:c r="H42" s="34" t="n">
        <x:v>20</x:v>
      </x:c>
      <x:c r="I42" s="35" t="n">
        <x:f>G42/H42</x:f>
        <x:v>0.2</x:v>
      </x:c>
      <x:c r="J42" s="35" t="n">
        <x:f>((G42/H42+3.8416/(2*H42))-1.96*SQRT((G42/H42)*(1-G42/H42)/H42+3.8416/(4*H42^2)))/(1+3.8416/H42)</x:f>
        <x:v>0.08065635327120002</x:v>
      </x:c>
      <x:c r="K42" s="35" t="n">
        <x:f>((G42/H42+3.8416/(2*H42))+1.96*SQRT((G42/H42)*(1-G42/H42)/H42+3.8416/(4*H42^2)))/(1+3.8416/H42)</x:f>
        <x:v>0.41602172202575993</x:v>
      </x:c>
      <x:c r="L42" s="34" t="n">
        <x:v>1</x:v>
      </x:c>
      <x:c r="M42" s="34" t="n">
        <x:v>1</x:v>
      </x:c>
      <x:c r="N42" s="33" t="str">
        <x:v>complete</x:v>
      </x:c>
    </x:row>
    <x:row r="43" ht="28" customHeight="1">
      <x:c r="A43" s="33" t="str">
        <x:v>Rover</x:v>
      </x:c>
      <x:c r="B43" s="33" t="str">
        <x:v>RQ2</x:v>
      </x:c>
      <x:c r="C43" s="33" t="str">
        <x:v>off</x:v>
      </x:c>
      <x:c r="D43" s="33" t="str">
        <x:v>Stage 1</x:v>
      </x:c>
      <x:c r="E43" s="33" t="str">
        <x:v>MCTS</x:v>
      </x:c>
      <x:c r="F43" s="33" t="str">
        <x:v>Normal</x:v>
      </x:c>
      <x:c r="G43" s="34" t="n">
        <x:v>6</x:v>
      </x:c>
      <x:c r="H43" s="34" t="n">
        <x:v>20</x:v>
      </x:c>
      <x:c r="I43" s="35" t="n">
        <x:f>G43/H43</x:f>
        <x:v>0.3</x:v>
      </x:c>
      <x:c r="J43" s="35" t="n">
        <x:f>((G43/H43+3.8416/(2*H43))-1.96*SQRT((G43/H43)*(1-G43/H43)/H43+3.8416/(4*H43^2)))/(1+3.8416/H43)</x:f>
        <x:v>0.1454752739689939</x:v>
      </x:c>
      <x:c r="K43" s="35" t="n">
        <x:f>((G43/H43+3.8416/(2*H43))+1.96*SQRT((G43/H43)*(1-G43/H43)/H43+3.8416/(4*H43^2)))/(1+3.8416/H43)</x:f>
        <x:v>0.5189767762289794</x:v>
      </x:c>
      <x:c r="L43" s="34" t="n">
        <x:v>1</x:v>
      </x:c>
      <x:c r="M43" s="34" t="n">
        <x:v>1</x:v>
      </x:c>
      <x:c r="N43" s="33" t="str">
        <x:v>complete</x:v>
      </x:c>
    </x:row>
    <x:row r="44" ht="28" customHeight="1">
      <x:c r="A44" s="33" t="str">
        <x:v>Rover</x:v>
      </x:c>
      <x:c r="B44" s="33" t="str">
        <x:v>RQ1</x:v>
      </x:c>
      <x:c r="C44" s="33" t="str">
        <x:v>off</x:v>
      </x:c>
      <x:c r="D44" s="33" t="str">
        <x:v>Stage 2</x:v>
      </x:c>
      <x:c r="E44" s="33" t="str">
        <x:v>Policy</x:v>
      </x:c>
      <x:c r="F44" s="33" t="str">
        <x:v>Selected</x:v>
      </x:c>
      <x:c r="G44" s="34" t="n">
        <x:v>4</x:v>
      </x:c>
      <x:c r="H44" s="34" t="n">
        <x:v>20</x:v>
      </x:c>
      <x:c r="I44" s="35" t="n">
        <x:f>G44/H44</x:f>
        <x:v>0.2</x:v>
      </x:c>
      <x:c r="J44" s="35" t="n">
        <x:f>((G44/H44+3.8416/(2*H44))-1.96*SQRT((G44/H44)*(1-G44/H44)/H44+3.8416/(4*H44^2)))/(1+3.8416/H44)</x:f>
        <x:v>0.08065635327120002</x:v>
      </x:c>
      <x:c r="K44" s="35" t="n">
        <x:f>((G44/H44+3.8416/(2*H44))+1.96*SQRT((G44/H44)*(1-G44/H44)/H44+3.8416/(4*H44^2)))/(1+3.8416/H44)</x:f>
        <x:v>0.41602172202575993</x:v>
      </x:c>
      <x:c r="L44" s="34" t="n">
        <x:v>1</x:v>
      </x:c>
      <x:c r="M44" s="34" t="n">
        <x:v>1</x:v>
      </x:c>
      <x:c r="N44" s="33" t="str">
        <x:v>complete</x:v>
      </x:c>
    </x:row>
    <x:row r="45" ht="28" customHeight="1">
      <x:c r="A45" s="33" t="str">
        <x:v>Rover</x:v>
      </x:c>
      <x:c r="B45" s="33" t="str">
        <x:v>RQ2</x:v>
      </x:c>
      <x:c r="C45" s="33" t="str">
        <x:v>off</x:v>
      </x:c>
      <x:c r="D45" s="33" t="str">
        <x:v>Stage 2</x:v>
      </x:c>
      <x:c r="E45" s="33" t="str">
        <x:v>MCTS</x:v>
      </x:c>
      <x:c r="F45" s="33" t="str">
        <x:v>Normal</x:v>
      </x:c>
      <x:c r="G45" s="34" t="n">
        <x:v>4</x:v>
      </x:c>
      <x:c r="H45" s="34" t="n">
        <x:v>20</x:v>
      </x:c>
      <x:c r="I45" s="35" t="n">
        <x:f>G45/H45</x:f>
        <x:v>0.2</x:v>
      </x:c>
      <x:c r="J45" s="35" t="n">
        <x:f>((G45/H45+3.8416/(2*H45))-1.96*SQRT((G45/H45)*(1-G45/H45)/H45+3.8416/(4*H45^2)))/(1+3.8416/H45)</x:f>
        <x:v>0.08065635327120002</x:v>
      </x:c>
      <x:c r="K45" s="35" t="n">
        <x:f>((G45/H45+3.8416/(2*H45))+1.96*SQRT((G45/H45)*(1-G45/H45)/H45+3.8416/(4*H45^2)))/(1+3.8416/H45)</x:f>
        <x:v>0.41602172202575993</x:v>
      </x:c>
      <x:c r="L45" s="34" t="n">
        <x:v>1</x:v>
      </x:c>
      <x:c r="M45" s="34" t="n">
        <x:v>1</x:v>
      </x:c>
      <x:c r="N45" s="33" t="str">
        <x:v>complete</x:v>
      </x:c>
    </x:row>
    <x:row r="46" ht="28" customHeight="1">
      <x:c r="A46" s="33" t="str">
        <x:v>Rover</x:v>
      </x:c>
      <x:c r="B46" s="33" t="str">
        <x:v>RQ3</x:v>
      </x:c>
      <x:c r="C46" s="33" t="str">
        <x:v>on</x:v>
      </x:c>
      <x:c r="D46" s="33" t="str">
        <x:v>Stage 1</x:v>
      </x:c>
      <x:c r="E46" s="33" t="str">
        <x:v>Policy</x:v>
      </x:c>
      <x:c r="F46" s="33" t="str">
        <x:v>Selected</x:v>
      </x:c>
      <x:c r="G46" s="34" t="n">
        <x:v>4</x:v>
      </x:c>
      <x:c r="H46" s="34" t="n">
        <x:v>20</x:v>
      </x:c>
      <x:c r="I46" s="35" t="n">
        <x:f>G46/H46</x:f>
        <x:v>0.2</x:v>
      </x:c>
      <x:c r="J46" s="35" t="n">
        <x:f>((G46/H46+3.8416/(2*H46))-1.96*SQRT((G46/H46)*(1-G46/H46)/H46+3.8416/(4*H46^2)))/(1+3.8416/H46)</x:f>
        <x:v>0.08065635327120002</x:v>
      </x:c>
      <x:c r="K46" s="35" t="n">
        <x:f>((G46/H46+3.8416/(2*H46))+1.96*SQRT((G46/H46)*(1-G46/H46)/H46+3.8416/(4*H46^2)))/(1+3.8416/H46)</x:f>
        <x:v>0.41602172202575993</x:v>
      </x:c>
      <x:c r="L46" s="34" t="n">
        <x:v>1</x:v>
      </x:c>
      <x:c r="M46" s="34" t="n">
        <x:v>1</x:v>
      </x:c>
      <x:c r="N46" s="33" t="str">
        <x:v>complete</x:v>
      </x:c>
    </x:row>
    <x:row r="47" ht="28" customHeight="1">
      <x:c r="A47" s="33" t="str">
        <x:v>Rover</x:v>
      </x:c>
      <x:c r="B47" s="33" t="str">
        <x:v>RQ4</x:v>
      </x:c>
      <x:c r="C47" s="33" t="str">
        <x:v>on</x:v>
      </x:c>
      <x:c r="D47" s="33" t="str">
        <x:v>Stage 1</x:v>
      </x:c>
      <x:c r="E47" s="33" t="str">
        <x:v>MCTS</x:v>
      </x:c>
      <x:c r="F47" s="33" t="str">
        <x:v>Normal</x:v>
      </x:c>
      <x:c r="G47" s="34" t="n">
        <x:v>5</x:v>
      </x:c>
      <x:c r="H47" s="34" t="n">
        <x:v>20</x:v>
      </x:c>
      <x:c r="I47" s="35" t="n">
        <x:f>G47/H47</x:f>
        <x:v>0.25</x:v>
      </x:c>
      <x:c r="J47" s="35" t="n">
        <x:f>((G47/H47+3.8416/(2*H47))-1.96*SQRT((G47/H47)*(1-G47/H47)/H47+3.8416/(4*H47^2)))/(1+3.8416/H47)</x:f>
        <x:v>0.11186005278940306</x:v>
      </x:c>
      <x:c r="K47" s="35" t="n">
        <x:f>((G47/H47+3.8416/(2*H47))+1.96*SQRT((G47/H47)*(1-G47/H47)/H47+3.8416/(4*H47^2)))/(1+3.8416/H47)</x:f>
        <x:v>0.4687050099580635</x:v>
      </x:c>
      <x:c r="L47" s="34" t="n">
        <x:v>1</x:v>
      </x:c>
      <x:c r="M47" s="34" t="n">
        <x:v>1</x:v>
      </x:c>
      <x:c r="N47" s="33" t="str">
        <x:v>complete</x:v>
      </x:c>
    </x:row>
    <x:row r="48" ht="28" customHeight="1">
      <x:c r="A48" s="33" t="str">
        <x:v>Rover</x:v>
      </x:c>
      <x:c r="B48" s="33" t="str">
        <x:v>RQ3</x:v>
      </x:c>
      <x:c r="C48" s="33" t="str">
        <x:v>on</x:v>
      </x:c>
      <x:c r="D48" s="33" t="str">
        <x:v>Stage 2</x:v>
      </x:c>
      <x:c r="E48" s="33" t="str">
        <x:v>Policy</x:v>
      </x:c>
      <x:c r="F48" s="33" t="str">
        <x:v>Selected</x:v>
      </x:c>
      <x:c r="G48" s="34" t="n">
        <x:v>4</x:v>
      </x:c>
      <x:c r="H48" s="34" t="n">
        <x:v>20</x:v>
      </x:c>
      <x:c r="I48" s="35" t="n">
        <x:f>G48/H48</x:f>
        <x:v>0.2</x:v>
      </x:c>
      <x:c r="J48" s="35" t="n">
        <x:f>((G48/H48+3.8416/(2*H48))-1.96*SQRT((G48/H48)*(1-G48/H48)/H48+3.8416/(4*H48^2)))/(1+3.8416/H48)</x:f>
        <x:v>0.08065635327120002</x:v>
      </x:c>
      <x:c r="K48" s="35" t="n">
        <x:f>((G48/H48+3.8416/(2*H48))+1.96*SQRT((G48/H48)*(1-G48/H48)/H48+3.8416/(4*H48^2)))/(1+3.8416/H48)</x:f>
        <x:v>0.41602172202575993</x:v>
      </x:c>
      <x:c r="L48" s="34" t="n">
        <x:v>1</x:v>
      </x:c>
      <x:c r="M48" s="34" t="n">
        <x:v>1</x:v>
      </x:c>
      <x:c r="N48" s="33" t="str">
        <x:v>complete</x:v>
      </x:c>
    </x:row>
    <x:row r="49" ht="28" customHeight="1">
      <x:c r="A49" s="33" t="str">
        <x:v>Rover</x:v>
      </x:c>
      <x:c r="B49" s="33" t="str">
        <x:v>RQ4</x:v>
      </x:c>
      <x:c r="C49" s="33" t="str">
        <x:v>on</x:v>
      </x:c>
      <x:c r="D49" s="33" t="str">
        <x:v>Stage 2</x:v>
      </x:c>
      <x:c r="E49" s="33" t="str">
        <x:v>MCTS</x:v>
      </x:c>
      <x:c r="F49" s="33" t="str">
        <x:v>Normal width 20 / iter 70</x:v>
      </x:c>
      <x:c r="G49" s="34" t="n">
        <x:v>6</x:v>
      </x:c>
      <x:c r="H49" s="34" t="n">
        <x:v>20</x:v>
      </x:c>
      <x:c r="I49" s="35" t="n">
        <x:f>G49/H49</x:f>
        <x:v>0.3</x:v>
      </x:c>
      <x:c r="J49" s="35" t="n">
        <x:f>((G49/H49+3.8416/(2*H49))-1.96*SQRT((G49/H49)*(1-G49/H49)/H49+3.8416/(4*H49^2)))/(1+3.8416/H49)</x:f>
        <x:v>0.1454752739689939</x:v>
      </x:c>
      <x:c r="K49" s="35" t="n">
        <x:f>((G49/H49+3.8416/(2*H49))+1.96*SQRT((G49/H49)*(1-G49/H49)/H49+3.8416/(4*H49^2)))/(1+3.8416/H49)</x:f>
        <x:v>0.5189767762289794</x:v>
      </x:c>
      <x:c r="L49" s="34" t="n">
        <x:v>1</x:v>
      </x:c>
      <x:c r="M49" s="34" t="n">
        <x:v>1</x:v>
      </x:c>
      <x:c r="N49" s="33" t="str">
        <x:v>complete</x:v>
      </x:c>
    </x:row>
    <x:row r="50" ht="28" customHeight="1">
      <x:c r="A50" s="33" t="str">
        <x:v>Rover</x:v>
      </x:c>
      <x:c r="B50" s="33" t="str">
        <x:v>RQ4</x:v>
      </x:c>
      <x:c r="C50" s="33" t="str">
        <x:v>on</x:v>
      </x:c>
      <x:c r="D50" s="33" t="str">
        <x:v>Stage 2</x:v>
      </x:c>
      <x:c r="E50" s="33" t="str">
        <x:v>MCTS</x:v>
      </x:c>
      <x:c r="F50" s="33" t="str">
        <x:v>Exploratory width 20 / iter 200</x:v>
      </x:c>
      <x:c r="G50" s="34" t="n">
        <x:v>8</x:v>
      </x:c>
      <x:c r="H50" s="34" t="n">
        <x:v>20</x:v>
      </x:c>
      <x:c r="I50" s="35" t="n">
        <x:f>G50/H50</x:f>
        <x:v>0.4</x:v>
      </x:c>
      <x:c r="J50" s="35" t="n">
        <x:f>((G50/H50+3.8416/(2*H50))-1.96*SQRT((G50/H50)*(1-G50/H50)/H50+3.8416/(4*H50^2)))/(1+3.8416/H50)</x:f>
        <x:v>0.21880396741419272</x:v>
      </x:c>
      <x:c r="K50" s="35" t="n">
        <x:f>((G50/H50+3.8416/(2*H50))+1.96*SQRT((G50/H50)*(1-G50/H50)/H50+3.8416/(4*H50^2)))/(1+3.8416/H50)</x:f>
        <x:v>0.613422057684794</x:v>
      </x:c>
      <x:c r="L50" s="34" t="n">
        <x:v>1</x:v>
      </x:c>
      <x:c r="M50" s="34" t="n">
        <x:v>1</x:v>
      </x:c>
      <x:c r="N50" s="33" t="str">
        <x:v>complete</x:v>
      </x:c>
    </x:row>
    <x:row r="51" ht="28" customHeight="1">
      <x:c r="A51" s="33" t="str">
        <x:v>Counters</x:v>
      </x:c>
      <x:c r="B51" s="33" t="str">
        <x:v>RQ1</x:v>
      </x:c>
      <x:c r="C51" s="33" t="str">
        <x:v>off</x:v>
      </x:c>
      <x:c r="D51" s="33" t="str">
        <x:v>Stage 1</x:v>
      </x:c>
      <x:c r="E51" s="33" t="str">
        <x:v>Policy</x:v>
      </x:c>
      <x:c r="F51" s="33" t="str">
        <x:v>Selected</x:v>
      </x:c>
      <x:c r="G51" s="34" t="n">
        <x:v>15</x:v>
      </x:c>
      <x:c r="H51" s="34" t="n">
        <x:v>59</x:v>
      </x:c>
      <x:c r="I51" s="35" t="n">
        <x:f>G51/H51</x:f>
        <x:v>0.2542372881355932</x:v>
      </x:c>
      <x:c r="J51" s="35" t="n">
        <x:f>((G51/H51+3.8416/(2*H51))-1.96*SQRT((G51/H51)*(1-G51/H51)/H51+3.8416/(4*H51^2)))/(1+3.8416/H51)</x:f>
        <x:v>0.1605583829520582</x:v>
      </x:c>
      <x:c r="K51" s="35" t="n">
        <x:f>((G51/H51+3.8416/(2*H51))+1.96*SQRT((G51/H51)*(1-G51/H51)/H51+3.8416/(4*H51^2)))/(1+3.8416/H51)</x:f>
        <x:v>0.3779638698231735</x:v>
      </x:c>
      <x:c r="L51" s="34" t="n">
        <x:v>1</x:v>
      </x:c>
      <x:c r="M51" s="34" t="n">
        <x:v>1</x:v>
      </x:c>
      <x:c r="N51" s="33" t="str">
        <x:v>complete</x:v>
      </x:c>
    </x:row>
    <x:row r="52" ht="28" customHeight="1">
      <x:c r="A52" s="33" t="str">
        <x:v>Counters</x:v>
      </x:c>
      <x:c r="B52" s="33" t="str">
        <x:v>RQ2</x:v>
      </x:c>
      <x:c r="C52" s="33" t="str">
        <x:v>off</x:v>
      </x:c>
      <x:c r="D52" s="33" t="str">
        <x:v>Stage 1</x:v>
      </x:c>
      <x:c r="E52" s="33" t="str">
        <x:v>MCTS</x:v>
      </x:c>
      <x:c r="F52" s="33" t="str">
        <x:v>Normal</x:v>
      </x:c>
      <x:c r="G52" s="34" t="n">
        <x:v>26</x:v>
      </x:c>
      <x:c r="H52" s="34" t="n">
        <x:v>59</x:v>
      </x:c>
      <x:c r="I52" s="35" t="n">
        <x:f>G52/H52</x:f>
        <x:v>0.4406779661016949</x:v>
      </x:c>
      <x:c r="J52" s="35" t="n">
        <x:f>((G52/H52+3.8416/(2*H52))-1.96*SQRT((G52/H52)*(1-G52/H52)/H52+3.8416/(4*H52^2)))/(1+3.8416/H52)</x:f>
        <x:v>0.3215001223396273</x:v>
      </x:c>
      <x:c r="K52" s="35" t="n">
        <x:f>((G52/H52+3.8416/(2*H52))+1.96*SQRT((G52/H52)*(1-G52/H52)/H52+3.8416/(4*H52^2)))/(1+3.8416/H52)</x:f>
        <x:v>0.5671086972957733</x:v>
      </x:c>
      <x:c r="L52" s="34" t="n">
        <x:v>1</x:v>
      </x:c>
      <x:c r="M52" s="34" t="n">
        <x:v>1</x:v>
      </x:c>
      <x:c r="N52" s="33" t="str">
        <x:v>scheduler-limited lower bound</x:v>
      </x:c>
    </x:row>
    <x:row r="53" ht="28" customHeight="1">
      <x:c r="A53" s="33" t="str">
        <x:v>Counters</x:v>
      </x:c>
      <x:c r="B53" s="33" t="str">
        <x:v>RQ1</x:v>
      </x:c>
      <x:c r="C53" s="33" t="str">
        <x:v>off</x:v>
      </x:c>
      <x:c r="D53" s="33" t="str">
        <x:v>Stage 2</x:v>
      </x:c>
      <x:c r="E53" s="33" t="str">
        <x:v>Policy</x:v>
      </x:c>
      <x:c r="F53" s="33" t="str">
        <x:v>Selected</x:v>
      </x:c>
      <x:c r="G53" s="34" t="n">
        <x:v>35</x:v>
      </x:c>
      <x:c r="H53" s="34" t="n">
        <x:v>59</x:v>
      </x:c>
      <x:c r="I53" s="35" t="n">
        <x:f>G53/H53</x:f>
        <x:v>0.5932203389830508</x:v>
      </x:c>
      <x:c r="J53" s="35" t="n">
        <x:f>((G53/H53+3.8416/(2*H53))-1.96*SQRT((G53/H53)*(1-G53/H53)/H53+3.8416/(4*H53^2)))/(1+3.8416/H53)</x:f>
        <x:v>0.465931713655643</x:v>
      </x:c>
      <x:c r="K53" s="35" t="n">
        <x:f>((G53/H53+3.8416/(2*H53))+1.96*SQRT((G53/H53)*(1-G53/H53)/H53+3.8416/(4*H53^2)))/(1+3.8416/H53)</x:f>
        <x:v>0.7091115697744415</x:v>
      </x:c>
      <x:c r="L53" s="34" t="n">
        <x:v>1</x:v>
      </x:c>
      <x:c r="M53" s="34" t="n">
        <x:v>1</x:v>
      </x:c>
      <x:c r="N53" s="33" t="str">
        <x:v>complete</x:v>
      </x:c>
    </x:row>
    <x:row r="54" ht="28" customHeight="1">
      <x:c r="A54" s="33" t="str">
        <x:v>Counters</x:v>
      </x:c>
      <x:c r="B54" s="33" t="str">
        <x:v>RQ2</x:v>
      </x:c>
      <x:c r="C54" s="33" t="str">
        <x:v>off</x:v>
      </x:c>
      <x:c r="D54" s="33" t="str">
        <x:v>Stage 2</x:v>
      </x:c>
      <x:c r="E54" s="33" t="str">
        <x:v>MCTS</x:v>
      </x:c>
      <x:c r="F54" s="33" t="str">
        <x:v>Normal width 20</x:v>
      </x:c>
      <x:c r="G54" s="34" t="n">
        <x:v>33</x:v>
      </x:c>
      <x:c r="H54" s="34" t="n">
        <x:v>59</x:v>
      </x:c>
      <x:c r="I54" s="35" t="n">
        <x:f>G54/H54</x:f>
        <x:v>0.559322033898305</x:v>
      </x:c>
      <x:c r="J54" s="35" t="n">
        <x:f>((G54/H54+3.8416/(2*H54))-1.96*SQRT((G54/H54)*(1-G54/H54)/H54+3.8416/(4*H54^2)))/(1+3.8416/H54)</x:f>
        <x:v>0.43289130270422654</x:v>
      </x:c>
      <x:c r="K54" s="35" t="n">
        <x:f>((G54/H54+3.8416/(2*H54))+1.96*SQRT((G54/H54)*(1-G54/H54)/H54+3.8416/(4*H54^2)))/(1+3.8416/H54)</x:f>
        <x:v>0.6784998776603726</x:v>
      </x:c>
      <x:c r="L54" s="34" t="n">
        <x:v>1</x:v>
      </x:c>
      <x:c r="M54" s="34" t="n">
        <x:v>1</x:v>
      </x:c>
      <x:c r="N54" s="33" t="str">
        <x:v>complete</x:v>
      </x:c>
    </x:row>
    <x:row r="55" ht="28" customHeight="1">
      <x:c r="A55" s="33" t="str">
        <x:v>Counters</x:v>
      </x:c>
      <x:c r="B55" s="33" t="str">
        <x:v>RQ2</x:v>
      </x:c>
      <x:c r="C55" s="33" t="str">
        <x:v>off</x:v>
      </x:c>
      <x:c r="D55" s="33" t="str">
        <x:v>Stage 2</x:v>
      </x:c>
      <x:c r="E55" s="33" t="str">
        <x:v>MCTS</x:v>
      </x:c>
      <x:c r="F55" s="33" t="str">
        <x:v>Narrow width 5</x:v>
      </x:c>
      <x:c r="G55" s="34" t="n">
        <x:v>37</x:v>
      </x:c>
      <x:c r="H55" s="34" t="n">
        <x:v>59</x:v>
      </x:c>
      <x:c r="I55" s="35" t="n">
        <x:f>G55/H55</x:f>
        <x:v>0.6271186440677966</x:v>
      </x:c>
      <x:c r="J55" s="35" t="n">
        <x:f>((G55/H55+3.8416/(2*H55))-1.96*SQRT((G55/H55)*(1-G55/H55)/H55+3.8416/(4*H55^2)))/(1+3.8416/H55)</x:f>
        <x:v>0.49953356682142125</x:v>
      </x:c>
      <x:c r="K55" s="35" t="n">
        <x:f>((G55/H55+3.8416/(2*H55))+1.96*SQRT((G55/H55)*(1-G55/H55)/H55+3.8416/(4*H55^2)))/(1+3.8416/H55)</x:f>
        <x:v>0.7391618196741485</x:v>
      </x:c>
      <x:c r="L55" s="34" t="n">
        <x:v>1</x:v>
      </x:c>
      <x:c r="M55" s="34" t="n">
        <x:v>1</x:v>
      </x:c>
      <x:c r="N55" s="33" t="str">
        <x:v>scheduler-limited lower bound</x:v>
      </x:c>
    </x:row>
    <x:row r="56" ht="28" customHeight="1">
      <x:c r="A56" s="33" t="str">
        <x:v>Counters</x:v>
      </x:c>
      <x:c r="B56" s="33" t="str">
        <x:v>RQ3</x:v>
      </x:c>
      <x:c r="C56" s="33" t="str">
        <x:v>on</x:v>
      </x:c>
      <x:c r="D56" s="33" t="str">
        <x:v>Stage 1</x:v>
      </x:c>
      <x:c r="E56" s="33" t="str">
        <x:v>Policy</x:v>
      </x:c>
      <x:c r="F56" s="33" t="str">
        <x:v>Selected</x:v>
      </x:c>
      <x:c r="G56" s="34" t="n">
        <x:v>12</x:v>
      </x:c>
      <x:c r="H56" s="34" t="n">
        <x:v>59</x:v>
      </x:c>
      <x:c r="I56" s="35" t="n">
        <x:f>G56/H56</x:f>
        <x:v>0.2033898305084746</x:v>
      </x:c>
      <x:c r="J56" s="35" t="n">
        <x:f>((G56/H56+3.8416/(2*H56))-1.96*SQRT((G56/H56)*(1-G56/H56)/H56+3.8416/(4*H56^2)))/(1+3.8416/H56)</x:f>
        <x:v>0.12036154854418066</x:v>
      </x:c>
      <x:c r="K56" s="35" t="n">
        <x:f>((G56/H56+3.8416/(2*H56))+1.96*SQRT((G56/H56)*(1-G56/H56)/H56+3.8416/(4*H56^2)))/(1+3.8416/H56)</x:f>
        <x:v>0.3226825496328231</x:v>
      </x:c>
      <x:c r="L56" s="34" t="n">
        <x:v>1</x:v>
      </x:c>
      <x:c r="M56" s="34" t="n">
        <x:v>1</x:v>
      </x:c>
      <x:c r="N56" s="33" t="str">
        <x:v>complete</x:v>
      </x:c>
    </x:row>
    <x:row r="57" ht="28" customHeight="1">
      <x:c r="A57" s="33" t="str">
        <x:v>Counters</x:v>
      </x:c>
      <x:c r="B57" s="33" t="str">
        <x:v>RQ4</x:v>
      </x:c>
      <x:c r="C57" s="33" t="str">
        <x:v>on</x:v>
      </x:c>
      <x:c r="D57" s="33" t="str">
        <x:v>Stage 1</x:v>
      </x:c>
      <x:c r="E57" s="33" t="str">
        <x:v>MCTS</x:v>
      </x:c>
      <x:c r="F57" s="33" t="str">
        <x:v>Normal</x:v>
      </x:c>
      <x:c r="G57" s="34" t="n">
        <x:v>14</x:v>
      </x:c>
      <x:c r="H57" s="34" t="n">
        <x:v>59</x:v>
      </x:c>
      <x:c r="I57" s="35" t="n">
        <x:f>G57/H57</x:f>
        <x:v>0.23728813559322035</x:v>
      </x:c>
      <x:c r="J57" s="35" t="n">
        <x:f>((G57/H57+3.8416/(2*H57))-1.96*SQRT((G57/H57)*(1-G57/H57)/H57+3.8416/(4*H57^2)))/(1+3.8416/H57)</x:f>
        <x:v>0.14694486256946127</x:v>
      </x:c>
      <x:c r="K57" s="35" t="n">
        <x:f>((G57/H57+3.8416/(2*H57))+1.96*SQRT((G57/H57)*(1-G57/H57)/H57+3.8416/(4*H57^2)))/(1+3.8416/H57)</x:f>
        <x:v>0.35975133867302783</x:v>
      </x:c>
      <x:c r="L57" s="34" t="n">
        <x:v>1</x:v>
      </x:c>
      <x:c r="M57" s="34" t="n">
        <x:v>1</x:v>
      </x:c>
      <x:c r="N57" s="33" t="str">
        <x:v>scheduler-limited lower bound</x:v>
      </x:c>
    </x:row>
    <x:row r="58" ht="28" customHeight="1">
      <x:c r="A58" s="33" t="str">
        <x:v>Counters</x:v>
      </x:c>
      <x:c r="B58" s="33" t="str">
        <x:v>RQ3</x:v>
      </x:c>
      <x:c r="C58" s="33" t="str">
        <x:v>on</x:v>
      </x:c>
      <x:c r="D58" s="33" t="str">
        <x:v>Stage 2</x:v>
      </x:c>
      <x:c r="E58" s="33" t="str">
        <x:v>Policy</x:v>
      </x:c>
      <x:c r="F58" s="33" t="str">
        <x:v>Selected</x:v>
      </x:c>
      <x:c r="G58" s="34" t="n">
        <x:v>14</x:v>
      </x:c>
      <x:c r="H58" s="34" t="n">
        <x:v>59</x:v>
      </x:c>
      <x:c r="I58" s="35" t="n">
        <x:f>G58/H58</x:f>
        <x:v>0.23728813559322035</x:v>
      </x:c>
      <x:c r="J58" s="35" t="n">
        <x:f>((G58/H58+3.8416/(2*H58))-1.96*SQRT((G58/H58)*(1-G58/H58)/H58+3.8416/(4*H58^2)))/(1+3.8416/H58)</x:f>
        <x:v>0.14694486256946127</x:v>
      </x:c>
      <x:c r="K58" s="35" t="n">
        <x:f>((G58/H58+3.8416/(2*H58))+1.96*SQRT((G58/H58)*(1-G58/H58)/H58+3.8416/(4*H58^2)))/(1+3.8416/H58)</x:f>
        <x:v>0.35975133867302783</x:v>
      </x:c>
      <x:c r="L58" s="34" t="n">
        <x:v>1</x:v>
      </x:c>
      <x:c r="M58" s="34" t="n">
        <x:v>1</x:v>
      </x:c>
      <x:c r="N58" s="33" t="str">
        <x:v>complete</x:v>
      </x:c>
    </x:row>
    <x:row r="59" ht="28" customHeight="1">
      <x:c r="A59" s="33" t="str">
        <x:v>Counters</x:v>
      </x:c>
      <x:c r="B59" s="33" t="str">
        <x:v>RQ4</x:v>
      </x:c>
      <x:c r="C59" s="33" t="str">
        <x:v>on</x:v>
      </x:c>
      <x:c r="D59" s="33" t="str">
        <x:v>Stage 2</x:v>
      </x:c>
      <x:c r="E59" s="33" t="str">
        <x:v>MCTS</x:v>
      </x:c>
      <x:c r="F59" s="33" t="str">
        <x:v>Normal</x:v>
      </x:c>
      <x:c r="G59" s="34" t="n">
        <x:v>15</x:v>
      </x:c>
      <x:c r="H59" s="34" t="n">
        <x:v>59</x:v>
      </x:c>
      <x:c r="I59" s="35" t="n">
        <x:f>G59/H59</x:f>
        <x:v>0.2542372881355932</x:v>
      </x:c>
      <x:c r="J59" s="35" t="n">
        <x:f>((G59/H59+3.8416/(2*H59))-1.96*SQRT((G59/H59)*(1-G59/H59)/H59+3.8416/(4*H59^2)))/(1+3.8416/H59)</x:f>
        <x:v>0.1605583829520582</x:v>
      </x:c>
      <x:c r="K59" s="35" t="n">
        <x:f>((G59/H59+3.8416/(2*H59))+1.96*SQRT((G59/H59)*(1-G59/H59)/H59+3.8416/(4*H59^2)))/(1+3.8416/H59)</x:f>
        <x:v>0.3779638698231735</x:v>
      </x:c>
      <x:c r="L59" s="34" t="n">
        <x:v>1</x:v>
      </x:c>
      <x:c r="M59" s="34" t="n">
        <x:v>1</x:v>
      </x:c>
      <x:c r="N59" s="33" t="str">
        <x:v>complete</x:v>
      </x:c>
    </x:row>
    <x:row r="61" ht="36" customHeight="1">
      <x:c r="A61" s="40" t="str">
        <x:v>Interpretation</x:v>
      </x:c>
      <x:c r="B61" s="39" t="str">
        <x:v>The Wilson intervals describe uncertainty across the fixed test instances only. They are not confidence intervals across training seeds or independent evaluation reruns.</x:v>
      </x:c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</x:row>
    <x:row r="62" ht="36" customHeight="1">
      <x:c r="A62" s="40" t="str">
        <x:v>Current replication</x:v>
      </x:c>
      <x:c r="B62" s="39" t="str">
        <x:v>Each displayed result is produced by one selected network and one evaluation campaign. Continuation logs complete the same campaign and are not independent repetitions.</x:v>
      </x:c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</x:row>
    <x:row r="63" ht="36" customHeight="1">
      <x:c r="A63" s="40" t="str">
        <x:v>Configuration selection</x:v>
      </x:c>
      <x:c r="B63" s="39" t="str">
        <x:v>The RQ1/RQ3 anchor-coefficient summaries used two training seeds per coefficient. The headline checkpoint score still evaluates one selected network, so it does not provide an across-seed final-result interval.</x:v>
      </x:c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</x:row>
    <x:row r="64" ht="36" customHeight="1">
      <x:c r="A64" s="40" t="str">
        <x:v>What is not estimable</x:v>
      </x:c>
      <x:c r="B64" s="39" t="str">
        <x:v>Across-seed variance, seed-level confidence intervals, and formal paired significance tests cannot be estimated from the displayed final cells yet.</x:v>
      </x:c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</x:row>
    <x:row r="65" ht="36" customHeight="1">
      <x:c r="A65" s="40" t="str">
        <x:v>Recommended extension</x:v>
      </x:c>
      <x:c r="B65" s="39" t="str">
        <x:v>Repeat each selected configuration with multiple predeclared training seeds and evaluate every resulting network on the identical test set; report paired per-instance outcomes plus across-seed intervals.</x:v>
      </x:c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</x:row>
  </x:sheetData>
  <x:mergeCells>
    <x:mergeCell ref="A1:J1"/>
    <x:mergeCell ref="A2:B2"/>
    <x:mergeCell ref="C2:F2"/>
    <x:mergeCell ref="G2:J2"/>
    <x:mergeCell ref="A10:J10"/>
    <x:mergeCell ref="A11:J11"/>
    <x:mergeCell ref="A12:J12"/>
    <x:mergeCell ref="A14:N14"/>
    <x:mergeCell ref="B61:N61"/>
    <x:mergeCell ref="B62:N62"/>
    <x:mergeCell ref="B63:N63"/>
    <x:mergeCell ref="B64:N64"/>
    <x:mergeCell ref="B65:N65"/>
  </x:mergeCells>
  <x:pageMargins left="0.7" right="0.7" top="0.75" bottom="0.75" header="0.3" footer="0.3"/>
</x:worksheet>
</file>